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BS\Excel\"/>
    </mc:Choice>
  </mc:AlternateContent>
  <xr:revisionPtr revIDLastSave="0" documentId="8_{1CEC9E5B-9A0B-40C1-AA59-CD59C66CF486}" xr6:coauthVersionLast="36" xr6:coauthVersionMax="36" xr10:uidLastSave="{00000000-0000-0000-0000-000000000000}"/>
  <bookViews>
    <workbookView xWindow="0" yWindow="0" windowWidth="7480" windowHeight="1650" xr2:uid="{212CA19A-E2C6-4D31-9A02-E32EE8946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5" i="1" l="1"/>
  <c r="O46" i="1"/>
  <c r="O47" i="1"/>
  <c r="O48" i="1"/>
  <c r="N45" i="1"/>
  <c r="N46" i="1"/>
  <c r="N47" i="1"/>
  <c r="N48" i="1"/>
  <c r="O44" i="1"/>
  <c r="N44" i="1"/>
  <c r="M48" i="1"/>
  <c r="M45" i="1"/>
  <c r="M46" i="1"/>
  <c r="M47" i="1"/>
  <c r="M44" i="1"/>
  <c r="I47" i="1"/>
  <c r="D63" i="1"/>
  <c r="D64" i="1"/>
  <c r="D65" i="1"/>
  <c r="D66" i="1"/>
  <c r="G57" i="1"/>
  <c r="G58" i="1"/>
  <c r="G59" i="1"/>
  <c r="G56" i="1"/>
  <c r="I58" i="1"/>
  <c r="H60" i="1"/>
  <c r="I59" i="1"/>
  <c r="H59" i="1"/>
  <c r="H58" i="1"/>
  <c r="I45" i="1"/>
  <c r="I46" i="1"/>
  <c r="I44" i="1"/>
  <c r="J36" i="1"/>
  <c r="J37" i="1"/>
  <c r="J38" i="1"/>
  <c r="J35" i="1"/>
  <c r="I24" i="1"/>
  <c r="I25" i="1"/>
  <c r="I26" i="1"/>
  <c r="I27" i="1"/>
  <c r="I28" i="1"/>
  <c r="I29" i="1"/>
  <c r="I30" i="1"/>
  <c r="I31" i="1"/>
  <c r="I23" i="1"/>
  <c r="L6" i="1"/>
  <c r="L7" i="1"/>
  <c r="L8" i="1"/>
  <c r="L9" i="1"/>
  <c r="L10" i="1"/>
  <c r="L11" i="1"/>
  <c r="L12" i="1"/>
  <c r="L13" i="1"/>
  <c r="L14" i="1"/>
  <c r="L5" i="1"/>
  <c r="I15" i="1"/>
  <c r="H13" i="1"/>
  <c r="I13" i="1" s="1"/>
  <c r="H10" i="1"/>
  <c r="I10" i="1" s="1"/>
  <c r="H6" i="1"/>
  <c r="I6" i="1" s="1"/>
  <c r="H7" i="1"/>
  <c r="I7" i="1" s="1"/>
  <c r="K7" i="1" s="1"/>
  <c r="H8" i="1"/>
  <c r="I8" i="1" s="1"/>
  <c r="H9" i="1"/>
  <c r="I9" i="1" s="1"/>
  <c r="H11" i="1"/>
  <c r="I11" i="1" s="1"/>
  <c r="H12" i="1"/>
  <c r="I12" i="1" s="1"/>
  <c r="H14" i="1"/>
  <c r="I14" i="1" s="1"/>
  <c r="K14" i="1" s="1"/>
  <c r="H16" i="1"/>
  <c r="I16" i="1" s="1"/>
  <c r="H17" i="1"/>
  <c r="H18" i="1"/>
  <c r="H5" i="1"/>
  <c r="I5" i="1" s="1"/>
  <c r="J5" i="1" s="1"/>
  <c r="J9" i="1" l="1"/>
  <c r="K9" i="1"/>
  <c r="J13" i="1"/>
  <c r="K13" i="1"/>
  <c r="K8" i="1"/>
  <c r="J8" i="1"/>
  <c r="K12" i="1"/>
  <c r="J12" i="1"/>
  <c r="K11" i="1"/>
  <c r="J11" i="1"/>
  <c r="K6" i="1"/>
  <c r="J6" i="1"/>
  <c r="K10" i="1"/>
  <c r="J10" i="1"/>
  <c r="J7" i="1"/>
  <c r="J14" i="1"/>
  <c r="K5" i="1"/>
</calcChain>
</file>

<file path=xl/sharedStrings.xml><?xml version="1.0" encoding="utf-8"?>
<sst xmlns="http://schemas.openxmlformats.org/spreadsheetml/2006/main" count="58" uniqueCount="42">
  <si>
    <t>prasad</t>
  </si>
  <si>
    <t>pranav</t>
  </si>
  <si>
    <t>Prasad</t>
  </si>
  <si>
    <t>Nikhil</t>
  </si>
  <si>
    <t>Vedant</t>
  </si>
  <si>
    <t>Pranav</t>
  </si>
  <si>
    <t>Durvesh</t>
  </si>
  <si>
    <t>Prathamesh</t>
  </si>
  <si>
    <t>Saraswaticollege</t>
  </si>
  <si>
    <t>khandagale</t>
  </si>
  <si>
    <t>Multithreading</t>
  </si>
  <si>
    <t>Manipulation</t>
  </si>
  <si>
    <t>Name</t>
  </si>
  <si>
    <t>Upper</t>
  </si>
  <si>
    <t>Lower</t>
  </si>
  <si>
    <t>Left</t>
  </si>
  <si>
    <t>Middle</t>
  </si>
  <si>
    <t>Length_of_char</t>
  </si>
  <si>
    <t>Surname</t>
  </si>
  <si>
    <t>Full Name</t>
  </si>
  <si>
    <t>Khandagale</t>
  </si>
  <si>
    <t xml:space="preserve">Nikhil </t>
  </si>
  <si>
    <t>Mane</t>
  </si>
  <si>
    <t>Gujarathi</t>
  </si>
  <si>
    <t>Kadave</t>
  </si>
  <si>
    <t>More</t>
  </si>
  <si>
    <t>Mavalkar</t>
  </si>
  <si>
    <t xml:space="preserve">Druti </t>
  </si>
  <si>
    <t>Katta</t>
  </si>
  <si>
    <t>Gauri</t>
  </si>
  <si>
    <t>Pinjarkar</t>
  </si>
  <si>
    <t xml:space="preserve">Sujata </t>
  </si>
  <si>
    <t>Sukum</t>
  </si>
  <si>
    <t>Day</t>
  </si>
  <si>
    <t>Month</t>
  </si>
  <si>
    <t>Year</t>
  </si>
  <si>
    <t>Date</t>
  </si>
  <si>
    <t>Hours</t>
  </si>
  <si>
    <t xml:space="preserve">Min </t>
  </si>
  <si>
    <t>Sec</t>
  </si>
  <si>
    <t>Time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</si>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</sst>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22" fontId="0" fillId="0" borderId="0" xfId="0" applyNumberFormat="1"/>
    <xf numFmtId="0" fontId="0" fillId="5" borderId="0" xfId="0" applyFill="1"/>
    <xf numFmtId="18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4C73-A1ED-4F34-BC77-4167A9220BDC}">
  <dimension ref="D4:P67"/>
  <sheetViews>
    <sheetView tabSelected="1" topLeftCell="K40" workbookViewId="0">
      <selection activeCell="L53" sqref="L53"/>
    </sheetView>
  </sheetViews>
  <sheetFormatPr defaultRowHeight="14.5" x14ac:dyDescent="0.35"/>
  <cols>
    <col min="4" max="4" width="11.36328125" customWidth="1"/>
    <col min="7" max="7" width="18.26953125" customWidth="1"/>
    <col min="8" max="8" width="18.453125" customWidth="1"/>
    <col min="9" max="9" width="30.26953125" customWidth="1"/>
    <col min="12" max="12" width="16.26953125" customWidth="1"/>
  </cols>
  <sheetData>
    <row r="4" spans="7:15" x14ac:dyDescent="0.35"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/>
      <c r="N4" s="1"/>
      <c r="O4" s="1"/>
    </row>
    <row r="5" spans="7:15" x14ac:dyDescent="0.35">
      <c r="G5" t="s">
        <v>2</v>
      </c>
      <c r="H5" t="str">
        <f>UPPER(G5)</f>
        <v>PRASAD</v>
      </c>
      <c r="I5" t="str">
        <f>LOWER(H5)</f>
        <v>prasad</v>
      </c>
      <c r="J5" t="str">
        <f>LEFT(I5,2)</f>
        <v>pr</v>
      </c>
      <c r="K5" t="str">
        <f>MID(I5,3,2)</f>
        <v>as</v>
      </c>
      <c r="L5">
        <f>LEN(G5)</f>
        <v>6</v>
      </c>
    </row>
    <row r="6" spans="7:15" x14ac:dyDescent="0.35">
      <c r="G6" t="s">
        <v>3</v>
      </c>
      <c r="H6" t="str">
        <f t="shared" ref="H6:H18" si="0">UPPER(G6)</f>
        <v>NIKHIL</v>
      </c>
      <c r="I6" t="str">
        <f t="shared" ref="I6:I16" si="1">LOWER(H6)</f>
        <v>nikhil</v>
      </c>
      <c r="J6" t="str">
        <f t="shared" ref="J6:J14" si="2">LEFT(I6,2)</f>
        <v>ni</v>
      </c>
      <c r="K6" t="str">
        <f t="shared" ref="K6:K14" si="3">MID(I6,3,2)</f>
        <v>kh</v>
      </c>
      <c r="L6">
        <f t="shared" ref="L6:L14" si="4">LEN(G6)</f>
        <v>6</v>
      </c>
    </row>
    <row r="7" spans="7:15" x14ac:dyDescent="0.35">
      <c r="G7" t="s">
        <v>4</v>
      </c>
      <c r="H7" t="str">
        <f t="shared" si="0"/>
        <v>VEDANT</v>
      </c>
      <c r="I7" t="str">
        <f t="shared" si="1"/>
        <v>vedant</v>
      </c>
      <c r="J7" t="str">
        <f t="shared" si="2"/>
        <v>ve</v>
      </c>
      <c r="K7" t="str">
        <f t="shared" si="3"/>
        <v>da</v>
      </c>
      <c r="L7">
        <f t="shared" si="4"/>
        <v>6</v>
      </c>
    </row>
    <row r="8" spans="7:15" x14ac:dyDescent="0.35">
      <c r="G8" t="s">
        <v>5</v>
      </c>
      <c r="H8" t="str">
        <f t="shared" si="0"/>
        <v>PRANAV</v>
      </c>
      <c r="I8" t="str">
        <f t="shared" si="1"/>
        <v>pranav</v>
      </c>
      <c r="J8" t="str">
        <f t="shared" si="2"/>
        <v>pr</v>
      </c>
      <c r="K8" t="str">
        <f t="shared" si="3"/>
        <v>an</v>
      </c>
      <c r="L8">
        <f t="shared" si="4"/>
        <v>6</v>
      </c>
    </row>
    <row r="9" spans="7:15" x14ac:dyDescent="0.35">
      <c r="G9" t="s">
        <v>6</v>
      </c>
      <c r="H9" t="str">
        <f t="shared" si="0"/>
        <v>DURVESH</v>
      </c>
      <c r="I9" t="str">
        <f t="shared" si="1"/>
        <v>durvesh</v>
      </c>
      <c r="J9" t="str">
        <f t="shared" si="2"/>
        <v>du</v>
      </c>
      <c r="K9" t="str">
        <f t="shared" si="3"/>
        <v>rv</v>
      </c>
      <c r="L9">
        <f t="shared" si="4"/>
        <v>7</v>
      </c>
    </row>
    <row r="10" spans="7:15" x14ac:dyDescent="0.35">
      <c r="G10" t="s">
        <v>7</v>
      </c>
      <c r="H10" t="str">
        <f t="shared" si="0"/>
        <v>PRATHAMESH</v>
      </c>
      <c r="I10" t="str">
        <f t="shared" si="1"/>
        <v>prathamesh</v>
      </c>
      <c r="J10" t="str">
        <f t="shared" si="2"/>
        <v>pr</v>
      </c>
      <c r="K10" t="str">
        <f t="shared" si="3"/>
        <v>at</v>
      </c>
      <c r="L10">
        <f t="shared" si="4"/>
        <v>10</v>
      </c>
    </row>
    <row r="11" spans="7:15" x14ac:dyDescent="0.35">
      <c r="G11" t="s">
        <v>8</v>
      </c>
      <c r="H11" t="str">
        <f t="shared" si="0"/>
        <v>SARASWATICOLLEGE</v>
      </c>
      <c r="I11" t="str">
        <f t="shared" si="1"/>
        <v>saraswaticollege</v>
      </c>
      <c r="J11" t="str">
        <f t="shared" si="2"/>
        <v>sa</v>
      </c>
      <c r="K11" t="str">
        <f t="shared" si="3"/>
        <v>ra</v>
      </c>
      <c r="L11">
        <f t="shared" si="4"/>
        <v>16</v>
      </c>
    </row>
    <row r="12" spans="7:15" x14ac:dyDescent="0.35">
      <c r="G12" t="s">
        <v>9</v>
      </c>
      <c r="H12" t="str">
        <f t="shared" si="0"/>
        <v>KHANDAGALE</v>
      </c>
      <c r="I12" t="str">
        <f t="shared" si="1"/>
        <v>khandagale</v>
      </c>
      <c r="J12" t="str">
        <f t="shared" si="2"/>
        <v>kh</v>
      </c>
      <c r="K12" t="str">
        <f t="shared" si="3"/>
        <v>an</v>
      </c>
      <c r="L12">
        <f t="shared" si="4"/>
        <v>10</v>
      </c>
    </row>
    <row r="13" spans="7:15" x14ac:dyDescent="0.35">
      <c r="G13" t="s">
        <v>10</v>
      </c>
      <c r="H13" t="str">
        <f t="shared" si="0"/>
        <v>MULTITHREADING</v>
      </c>
      <c r="I13" t="str">
        <f t="shared" si="1"/>
        <v>multithreading</v>
      </c>
      <c r="J13" t="str">
        <f t="shared" si="2"/>
        <v>mu</v>
      </c>
      <c r="K13" t="str">
        <f t="shared" si="3"/>
        <v>lt</v>
      </c>
      <c r="L13">
        <f t="shared" si="4"/>
        <v>14</v>
      </c>
    </row>
    <row r="14" spans="7:15" x14ac:dyDescent="0.35">
      <c r="G14" t="s">
        <v>11</v>
      </c>
      <c r="H14" t="str">
        <f t="shared" si="0"/>
        <v>MANIPULATION</v>
      </c>
      <c r="I14" t="str">
        <f t="shared" si="1"/>
        <v>manipulation</v>
      </c>
      <c r="J14" t="str">
        <f t="shared" si="2"/>
        <v>ma</v>
      </c>
      <c r="K14" t="str">
        <f t="shared" si="3"/>
        <v>ni</v>
      </c>
      <c r="L14">
        <f t="shared" si="4"/>
        <v>12</v>
      </c>
    </row>
    <row r="15" spans="7:15" x14ac:dyDescent="0.35">
      <c r="I15" t="str">
        <f t="shared" si="1"/>
        <v/>
      </c>
    </row>
    <row r="16" spans="7:15" x14ac:dyDescent="0.35">
      <c r="H16" t="str">
        <f t="shared" si="0"/>
        <v/>
      </c>
      <c r="I16" t="str">
        <f t="shared" si="1"/>
        <v/>
      </c>
    </row>
    <row r="17" spans="7:9" x14ac:dyDescent="0.35">
      <c r="H17" t="str">
        <f t="shared" si="0"/>
        <v/>
      </c>
    </row>
    <row r="18" spans="7:9" x14ac:dyDescent="0.35">
      <c r="H18" t="str">
        <f t="shared" si="0"/>
        <v/>
      </c>
    </row>
    <row r="22" spans="7:9" x14ac:dyDescent="0.35">
      <c r="G22" s="2" t="s">
        <v>12</v>
      </c>
      <c r="H22" s="2" t="s">
        <v>18</v>
      </c>
      <c r="I22" s="2" t="s">
        <v>19</v>
      </c>
    </row>
    <row r="23" spans="7:9" x14ac:dyDescent="0.35">
      <c r="G23" t="s">
        <v>2</v>
      </c>
      <c r="H23" t="s">
        <v>20</v>
      </c>
      <c r="I23" t="str">
        <f>UPPER(_xlfn.CONCAT(G23, "-",H23))</f>
        <v>PRASAD-KHANDAGALE</v>
      </c>
    </row>
    <row r="24" spans="7:9" x14ac:dyDescent="0.35">
      <c r="G24" t="s">
        <v>21</v>
      </c>
      <c r="H24" t="s">
        <v>22</v>
      </c>
      <c r="I24" t="str">
        <f t="shared" ref="I24:I31" si="5">UPPER(_xlfn.CONCAT(G24, "-",H24))</f>
        <v>NIKHIL -MANE</v>
      </c>
    </row>
    <row r="25" spans="7:9" x14ac:dyDescent="0.35">
      <c r="G25" t="s">
        <v>5</v>
      </c>
      <c r="H25" t="s">
        <v>23</v>
      </c>
      <c r="I25" t="str">
        <f t="shared" si="5"/>
        <v>PRANAV-GUJARATHI</v>
      </c>
    </row>
    <row r="26" spans="7:9" x14ac:dyDescent="0.35">
      <c r="G26" t="s">
        <v>6</v>
      </c>
      <c r="H26" t="s">
        <v>24</v>
      </c>
      <c r="I26" t="str">
        <f t="shared" si="5"/>
        <v>DURVESH-KADAVE</v>
      </c>
    </row>
    <row r="27" spans="7:9" x14ac:dyDescent="0.35">
      <c r="G27" t="s">
        <v>4</v>
      </c>
      <c r="H27" t="s">
        <v>25</v>
      </c>
      <c r="I27" t="str">
        <f t="shared" si="5"/>
        <v>VEDANT-MORE</v>
      </c>
    </row>
    <row r="28" spans="7:9" x14ac:dyDescent="0.35">
      <c r="G28" t="s">
        <v>7</v>
      </c>
      <c r="H28" t="s">
        <v>26</v>
      </c>
      <c r="I28" t="str">
        <f t="shared" si="5"/>
        <v>PRATHAMESH-MAVALKAR</v>
      </c>
    </row>
    <row r="29" spans="7:9" x14ac:dyDescent="0.35">
      <c r="G29" t="s">
        <v>27</v>
      </c>
      <c r="H29" t="s">
        <v>28</v>
      </c>
      <c r="I29" t="str">
        <f t="shared" si="5"/>
        <v>DRUTI -KATTA</v>
      </c>
    </row>
    <row r="30" spans="7:9" x14ac:dyDescent="0.35">
      <c r="G30" t="s">
        <v>29</v>
      </c>
      <c r="H30" t="s">
        <v>30</v>
      </c>
      <c r="I30" t="str">
        <f t="shared" si="5"/>
        <v>GAURI-PINJARKAR</v>
      </c>
    </row>
    <row r="31" spans="7:9" x14ac:dyDescent="0.35">
      <c r="G31" t="s">
        <v>31</v>
      </c>
      <c r="H31" t="s">
        <v>32</v>
      </c>
      <c r="I31" t="str">
        <f t="shared" si="5"/>
        <v>SUJATA -SUKUM</v>
      </c>
    </row>
    <row r="35" spans="6:16" x14ac:dyDescent="0.35">
      <c r="H35" t="s">
        <v>2</v>
      </c>
      <c r="I35" t="s">
        <v>0</v>
      </c>
      <c r="J35" t="b">
        <f>EXACT(H35,I35)</f>
        <v>0</v>
      </c>
    </row>
    <row r="36" spans="6:16" x14ac:dyDescent="0.35">
      <c r="H36" t="s">
        <v>3</v>
      </c>
      <c r="I36" t="s">
        <v>3</v>
      </c>
      <c r="J36" t="b">
        <f t="shared" ref="J36:J38" si="6">EXACT(H36,I36)</f>
        <v>1</v>
      </c>
    </row>
    <row r="37" spans="6:16" x14ac:dyDescent="0.35">
      <c r="H37" t="s">
        <v>5</v>
      </c>
      <c r="I37" t="s">
        <v>1</v>
      </c>
      <c r="J37" t="b">
        <f t="shared" si="6"/>
        <v>0</v>
      </c>
    </row>
    <row r="38" spans="6:16" x14ac:dyDescent="0.35">
      <c r="H38" t="s">
        <v>6</v>
      </c>
      <c r="I38" t="s">
        <v>6</v>
      </c>
      <c r="J38" t="b">
        <f t="shared" si="6"/>
        <v>1</v>
      </c>
    </row>
    <row r="43" spans="6:16" x14ac:dyDescent="0.35">
      <c r="F43" s="6" t="s">
        <v>33</v>
      </c>
      <c r="G43" s="6" t="s">
        <v>34</v>
      </c>
      <c r="H43" s="7" t="s">
        <v>35</v>
      </c>
      <c r="I43" s="7" t="s">
        <v>36</v>
      </c>
      <c r="J43" s="5"/>
      <c r="L43" s="13" t="s">
        <v>41</v>
      </c>
      <c r="M43" s="14" t="s">
        <v>35</v>
      </c>
      <c r="N43" s="14" t="s">
        <v>34</v>
      </c>
      <c r="O43" s="14" t="s">
        <v>33</v>
      </c>
      <c r="P43" s="4"/>
    </row>
    <row r="44" spans="6:16" x14ac:dyDescent="0.35">
      <c r="F44">
        <v>12</v>
      </c>
      <c r="G44">
        <v>3</v>
      </c>
      <c r="H44">
        <v>2026</v>
      </c>
      <c r="I44" s="3">
        <f>DATE(H44,G44,F44)</f>
        <v>46093</v>
      </c>
      <c r="L44" s="12">
        <v>46093</v>
      </c>
      <c r="M44" s="11">
        <f>YEAR(L44)</f>
        <v>2026</v>
      </c>
      <c r="N44" s="11">
        <f>MONTH(L44)</f>
        <v>3</v>
      </c>
      <c r="O44" s="11">
        <f>DAY(L44)</f>
        <v>12</v>
      </c>
    </row>
    <row r="45" spans="6:16" x14ac:dyDescent="0.35">
      <c r="F45">
        <v>10</v>
      </c>
      <c r="G45">
        <v>2</v>
      </c>
      <c r="H45">
        <v>2014</v>
      </c>
      <c r="I45" s="3">
        <f t="shared" ref="I45:I47" si="7">DATE(H45,G45,F45)</f>
        <v>41680</v>
      </c>
      <c r="L45" s="12">
        <v>45332</v>
      </c>
      <c r="M45" s="11">
        <f t="shared" ref="M45:M48" si="8">YEAR(L45)</f>
        <v>2024</v>
      </c>
      <c r="N45" s="11">
        <f t="shared" ref="N45:N48" si="9">MONTH(L45)</f>
        <v>2</v>
      </c>
      <c r="O45" s="11">
        <f t="shared" ref="O45:O48" si="10">DAY(L45)</f>
        <v>10</v>
      </c>
    </row>
    <row r="46" spans="6:16" x14ac:dyDescent="0.35">
      <c r="F46">
        <v>1</v>
      </c>
      <c r="G46">
        <v>2</v>
      </c>
      <c r="H46">
        <v>2022</v>
      </c>
      <c r="I46" s="3">
        <f t="shared" si="7"/>
        <v>44593</v>
      </c>
      <c r="L46" s="12">
        <v>44593</v>
      </c>
      <c r="M46" s="11">
        <f t="shared" si="8"/>
        <v>2022</v>
      </c>
      <c r="N46" s="11">
        <f t="shared" si="9"/>
        <v>2</v>
      </c>
      <c r="O46" s="11">
        <f t="shared" si="10"/>
        <v>1</v>
      </c>
    </row>
    <row r="47" spans="6:16" x14ac:dyDescent="0.35">
      <c r="F47">
        <v>23</v>
      </c>
      <c r="G47">
        <v>8</v>
      </c>
      <c r="H47">
        <v>2020</v>
      </c>
      <c r="I47" s="3">
        <f>DATE(H47,G47,F47)</f>
        <v>44066</v>
      </c>
      <c r="L47" s="12">
        <v>44066</v>
      </c>
      <c r="M47" s="11">
        <f t="shared" si="8"/>
        <v>2020</v>
      </c>
      <c r="N47" s="11">
        <f t="shared" si="9"/>
        <v>8</v>
      </c>
      <c r="O47" s="11">
        <f t="shared" si="10"/>
        <v>23</v>
      </c>
    </row>
    <row r="48" spans="6:16" x14ac:dyDescent="0.35">
      <c r="I48" s="3"/>
      <c r="L48" s="12">
        <v>141</v>
      </c>
      <c r="M48" s="11">
        <f t="shared" si="8"/>
        <v>1900</v>
      </c>
      <c r="N48" s="11">
        <f t="shared" si="9"/>
        <v>5</v>
      </c>
      <c r="O48" s="11">
        <f t="shared" si="10"/>
        <v>20</v>
      </c>
    </row>
    <row r="55" spans="4:9" x14ac:dyDescent="0.35">
      <c r="D55" s="9" t="s">
        <v>37</v>
      </c>
      <c r="E55" s="9" t="s">
        <v>38</v>
      </c>
      <c r="F55" s="9" t="s">
        <v>39</v>
      </c>
      <c r="G55" s="9" t="s">
        <v>40</v>
      </c>
    </row>
    <row r="56" spans="4:9" x14ac:dyDescent="0.35">
      <c r="D56">
        <v>2</v>
      </c>
      <c r="E56">
        <v>45</v>
      </c>
      <c r="F56">
        <v>30</v>
      </c>
      <c r="G56" s="10">
        <f>TIME(D56,E56,F56)</f>
        <v>0.11493055555555555</v>
      </c>
    </row>
    <row r="57" spans="4:9" x14ac:dyDescent="0.35">
      <c r="D57">
        <v>12</v>
      </c>
      <c r="E57">
        <v>55</v>
      </c>
      <c r="F57">
        <v>3</v>
      </c>
      <c r="G57" s="10">
        <f t="shared" ref="G57:G59" si="11">TIME(D57,E57,F57)</f>
        <v>0.53822916666666665</v>
      </c>
    </row>
    <row r="58" spans="4:9" x14ac:dyDescent="0.35">
      <c r="D58">
        <v>7</v>
      </c>
      <c r="E58">
        <v>59</v>
      </c>
      <c r="F58">
        <v>34</v>
      </c>
      <c r="G58" s="10">
        <f t="shared" si="11"/>
        <v>0.33303240740740742</v>
      </c>
      <c r="H58" s="8">
        <f ca="1">NOW()</f>
        <v>46195.703091435185</v>
      </c>
      <c r="I58" s="8">
        <f ca="1">NOW() + 1</f>
        <v>46196.703091435185</v>
      </c>
    </row>
    <row r="59" spans="4:9" x14ac:dyDescent="0.35">
      <c r="D59">
        <v>11</v>
      </c>
      <c r="E59">
        <v>3</v>
      </c>
      <c r="F59">
        <v>56</v>
      </c>
      <c r="G59" s="10">
        <f t="shared" si="11"/>
        <v>0.46106481481481482</v>
      </c>
      <c r="H59" s="8">
        <f ca="1">NOW()</f>
        <v>46195.703091435185</v>
      </c>
      <c r="I59">
        <f ca="1">NOW() + 2 / 24</f>
        <v>46195.786424768521</v>
      </c>
    </row>
    <row r="60" spans="4:9" x14ac:dyDescent="0.35">
      <c r="G60" s="10"/>
      <c r="H60" s="8">
        <f ca="1">NOW()</f>
        <v>46195.703091435185</v>
      </c>
    </row>
    <row r="62" spans="4:9" x14ac:dyDescent="0.35">
      <c r="D62" s="7" t="s">
        <v>36</v>
      </c>
    </row>
    <row r="63" spans="4:9" x14ac:dyDescent="0.35">
      <c r="D63" s="3" t="e">
        <f>DATE(C63,B63,A63)</f>
        <v>#NUM!</v>
      </c>
    </row>
    <row r="64" spans="4:9" x14ac:dyDescent="0.35">
      <c r="D64" s="3" t="e">
        <f t="shared" ref="D64:D66" si="12">DATE(C64,B64,A64)</f>
        <v>#NUM!</v>
      </c>
    </row>
    <row r="65" spans="4:4" x14ac:dyDescent="0.35">
      <c r="D65" s="3" t="e">
        <f t="shared" si="12"/>
        <v>#NUM!</v>
      </c>
    </row>
    <row r="66" spans="4:4" x14ac:dyDescent="0.35">
      <c r="D66" s="3" t="e">
        <f t="shared" si="12"/>
        <v>#NUM!</v>
      </c>
    </row>
    <row r="67" spans="4:4" x14ac:dyDescent="0.35">
      <c r="D6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2026-06-21T17:49:23Z</dcterms:created>
  <dcterms:modified xsi:type="dcterms:W3CDTF">2026-06-22T17:50:58Z</dcterms:modified>
</cp:coreProperties>
</file>